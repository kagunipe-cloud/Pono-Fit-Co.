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 Costs" sheetId="1" r:id="rId1"/>
  </sheets>
  <calcPr calcId="124519" fullCalcOnLoad="1"/>
</workbook>
</file>

<file path=xl/sharedStrings.xml><?xml version="1.0" encoding="utf-8"?>
<sst xmlns="http://schemas.openxmlformats.org/spreadsheetml/2006/main" count="74" uniqueCount="51">
  <si>
    <t>Platform Cost Table</t>
  </si>
  <si>
    <t>Assumptions: Stripe fees are passed through; Kisi is paid by each gym; Railway Enterprise is a placeholder until quoted.</t>
  </si>
  <si>
    <t>Fixed Monthly Costs</t>
  </si>
  <si>
    <t>Type</t>
  </si>
  <si>
    <t>Cost Item</t>
  </si>
  <si>
    <t>Low / Mo</t>
  </si>
  <si>
    <t>Expected / Mo</t>
  </si>
  <si>
    <t>High / Mo</t>
  </si>
  <si>
    <t>Notes</t>
  </si>
  <si>
    <t>Fixed</t>
  </si>
  <si>
    <t>Railway Enterprise</t>
  </si>
  <si>
    <t>Quote-based. $1,000/mo is a planning placeholder until Railway gives an actual contract price.</t>
  </si>
  <si>
    <t>Postmark Platform email base</t>
  </si>
  <si>
    <t>Includes 10,000 emails/month; email overage is modeled in variable costs.</t>
  </si>
  <si>
    <t>Google Workspace support inbox</t>
  </si>
  <si>
    <t>Use 1 inbox expected; high assumes 2 human mailboxes.</t>
  </si>
  <si>
    <t>Apple Developer Program</t>
  </si>
  <si>
    <t>$99/year shown as monthly equivalent.</t>
  </si>
  <si>
    <t>Google Play Console</t>
  </si>
  <si>
    <t>$25 one-time shown as a small monthly planning equivalent.</t>
  </si>
  <si>
    <t>Stripe fixed platform fee</t>
  </si>
  <si>
    <t>Processing fees are passed through.</t>
  </si>
  <si>
    <t>Gemini fixed platform fee</t>
  </si>
  <si>
    <t>Pay-as-you-go only.</t>
  </si>
  <si>
    <t>Serper fixed platform fee</t>
  </si>
  <si>
    <t>Pay-as-you-go / credit-based.</t>
  </si>
  <si>
    <t>Kisi platform fee</t>
  </si>
  <si>
    <t>Assume each gym pays Kisi/hardware separately.</t>
  </si>
  <si>
    <t>Fixed Total</t>
  </si>
  <si>
    <t>Total fixed monthly platform cost before per-gym usage.</t>
  </si>
  <si>
    <t>Variable Monthly Costs Per Gym</t>
  </si>
  <si>
    <t>Variable / Gym</t>
  </si>
  <si>
    <t>Email usage / overage</t>
  </si>
  <si>
    <t>Per gym. Normal transactional + occasional broadcast usage; roughly $0.001/email planning cost.</t>
  </si>
  <si>
    <t>Gemini macro usage</t>
  </si>
  <si>
    <t>Per gym. Expected assumes moderate macro usage and caching. Heavy nutrition-focused gyms may be higher.</t>
  </si>
  <si>
    <t>Serper macro searches</t>
  </si>
  <si>
    <t>Per gym. One search per uncached macro calculation when Serper is enabled.</t>
  </si>
  <si>
    <t>Railway usage over Enterprise base</t>
  </si>
  <si>
    <t>Per gym reserve only. Actual Enterprise contract may bundle this differently.</t>
  </si>
  <si>
    <t>Support-cost buffer for external services</t>
  </si>
  <si>
    <t>Optional pricing cushion for email deliverability, API errors, retries, and configuration issues.</t>
  </si>
  <si>
    <t>Variable Total / Gym</t>
  </si>
  <si>
    <t>Estimated variable monthly cost for one gym.</t>
  </si>
  <si>
    <t>Fixed Cost Spread Across Gyms</t>
  </si>
  <si>
    <t>Gym Count</t>
  </si>
  <si>
    <t>Fixed Low / Gym</t>
  </si>
  <si>
    <t>Fixed Expected / Gym</t>
  </si>
  <si>
    <t>Fixed High / Gym</t>
  </si>
  <si>
    <t>Expected + Variable / Gym</t>
  </si>
  <si>
    <t>Expected fixed allocation plus expected per-gym variable usage.</t>
  </si>
</sst>
</file>

<file path=xl/styles.xml><?xml version="1.0" encoding="utf-8"?>
<styleSheet xmlns="http://schemas.openxmlformats.org/spreadsheetml/2006/main">
  <numFmts count="1">
    <numFmt numFmtId="164" formatCode="$#,##0.00"/>
  </numFmts>
  <fonts count="6">
    <font>
      <sz val="11"/>
      <color theme="1"/>
      <name val="Calibri"/>
      <family val="2"/>
      <scheme val="minor"/>
    </font>
    <font>
      <b/>
      <sz val="16"/>
      <color rgb="FF2D302D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2"/>
      <color rgb="FF2D302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2F4B1"/>
        <bgColor indexed="64"/>
      </patternFill>
    </fill>
    <fill>
      <patternFill patternType="solid">
        <fgColor rgb="FF2D302D"/>
        <bgColor indexed="64"/>
      </patternFill>
    </fill>
    <fill>
      <patternFill patternType="solid">
        <fgColor rgb="FFDCFCE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3" borderId="1" xfId="0" applyFont="1" applyFill="1" applyBorder="1"/>
    <xf numFmtId="0" fontId="0" fillId="0" borderId="1" xfId="0" applyBorder="1" applyAlignment="1">
      <alignment vertical="top"/>
    </xf>
    <xf numFmtId="164" fontId="0" fillId="0" borderId="1" xfId="0" applyNumberFormat="1" applyBorder="1"/>
    <xf numFmtId="0" fontId="0" fillId="0" borderId="1" xfId="0" applyBorder="1" applyAlignment="1">
      <alignment vertical="top" wrapText="1"/>
    </xf>
    <xf numFmtId="0" fontId="5" fillId="4" borderId="1" xfId="0" applyFont="1" applyFill="1" applyBorder="1"/>
    <xf numFmtId="164" fontId="5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width="18.7109375" customWidth="1"/>
    <col min="2" max="2" width="30.7109375" customWidth="1"/>
    <col min="3" max="5" width="14.7109375" customWidth="1"/>
    <col min="6" max="6" width="52.7109375" customWidth="1"/>
  </cols>
  <sheetData>
    <row r="1" spans="1:6">
      <c r="A1" s="1" t="s">
        <v>0</v>
      </c>
    </row>
    <row r="2" spans="1:6">
      <c r="A2" s="2" t="s">
        <v>1</v>
      </c>
    </row>
    <row r="5" spans="1:6">
      <c r="A5" s="3" t="s">
        <v>2</v>
      </c>
      <c r="B5" s="3"/>
      <c r="C5" s="3"/>
      <c r="D5" s="3"/>
      <c r="E5" s="3"/>
      <c r="F5" s="3"/>
    </row>
    <row r="6" spans="1:6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</row>
    <row r="7" spans="1:6">
      <c r="A7" s="5" t="s">
        <v>9</v>
      </c>
      <c r="B7" s="5" t="s">
        <v>10</v>
      </c>
      <c r="C7" s="6">
        <v>1000</v>
      </c>
      <c r="D7" s="6">
        <v>1000</v>
      </c>
      <c r="E7" s="6">
        <v>1000</v>
      </c>
      <c r="F7" s="7" t="s">
        <v>11</v>
      </c>
    </row>
    <row r="8" spans="1:6">
      <c r="A8" s="5" t="s">
        <v>9</v>
      </c>
      <c r="B8" s="5" t="s">
        <v>12</v>
      </c>
      <c r="C8" s="6">
        <v>18</v>
      </c>
      <c r="D8" s="6">
        <v>18</v>
      </c>
      <c r="E8" s="6">
        <v>18</v>
      </c>
      <c r="F8" s="7" t="s">
        <v>13</v>
      </c>
    </row>
    <row r="9" spans="1:6">
      <c r="A9" s="5" t="s">
        <v>9</v>
      </c>
      <c r="B9" s="5" t="s">
        <v>14</v>
      </c>
      <c r="C9" s="6">
        <v>8.4</v>
      </c>
      <c r="D9" s="6">
        <v>8.4</v>
      </c>
      <c r="E9" s="6">
        <v>16.8</v>
      </c>
      <c r="F9" s="7" t="s">
        <v>15</v>
      </c>
    </row>
    <row r="10" spans="1:6">
      <c r="A10" s="5" t="s">
        <v>9</v>
      </c>
      <c r="B10" s="5" t="s">
        <v>16</v>
      </c>
      <c r="C10" s="6">
        <v>8.25</v>
      </c>
      <c r="D10" s="6">
        <v>8.25</v>
      </c>
      <c r="E10" s="6">
        <v>8.25</v>
      </c>
      <c r="F10" s="7" t="s">
        <v>17</v>
      </c>
    </row>
    <row r="11" spans="1:6">
      <c r="A11" s="5" t="s">
        <v>9</v>
      </c>
      <c r="B11" s="5" t="s">
        <v>18</v>
      </c>
      <c r="C11" s="6">
        <v>0.35</v>
      </c>
      <c r="D11" s="6">
        <v>0.35</v>
      </c>
      <c r="E11" s="6">
        <v>0.35</v>
      </c>
      <c r="F11" s="7" t="s">
        <v>19</v>
      </c>
    </row>
    <row r="12" spans="1:6">
      <c r="A12" s="5" t="s">
        <v>9</v>
      </c>
      <c r="B12" s="5" t="s">
        <v>20</v>
      </c>
      <c r="C12" s="6">
        <v>0</v>
      </c>
      <c r="D12" s="6">
        <v>0</v>
      </c>
      <c r="E12" s="6">
        <v>0</v>
      </c>
      <c r="F12" s="7" t="s">
        <v>21</v>
      </c>
    </row>
    <row r="13" spans="1:6">
      <c r="A13" s="5" t="s">
        <v>9</v>
      </c>
      <c r="B13" s="5" t="s">
        <v>22</v>
      </c>
      <c r="C13" s="6">
        <v>0</v>
      </c>
      <c r="D13" s="6">
        <v>0</v>
      </c>
      <c r="E13" s="6">
        <v>0</v>
      </c>
      <c r="F13" s="7" t="s">
        <v>23</v>
      </c>
    </row>
    <row r="14" spans="1:6">
      <c r="A14" s="5" t="s">
        <v>9</v>
      </c>
      <c r="B14" s="5" t="s">
        <v>24</v>
      </c>
      <c r="C14" s="6">
        <v>0</v>
      </c>
      <c r="D14" s="6">
        <v>0</v>
      </c>
      <c r="E14" s="6">
        <v>0</v>
      </c>
      <c r="F14" s="7" t="s">
        <v>25</v>
      </c>
    </row>
    <row r="15" spans="1:6">
      <c r="A15" s="5" t="s">
        <v>9</v>
      </c>
      <c r="B15" s="5" t="s">
        <v>26</v>
      </c>
      <c r="C15" s="6">
        <v>0</v>
      </c>
      <c r="D15" s="6">
        <v>0</v>
      </c>
      <c r="E15" s="6">
        <v>0</v>
      </c>
      <c r="F15" s="7" t="s">
        <v>27</v>
      </c>
    </row>
    <row r="16" spans="1:6">
      <c r="A16" s="8" t="s">
        <v>28</v>
      </c>
      <c r="B16" s="8"/>
      <c r="C16" s="9">
        <f>SUM(C6:C15)</f>
        <v>0</v>
      </c>
      <c r="D16" s="9">
        <f>SUM(D6:D15)</f>
        <v>0</v>
      </c>
      <c r="E16" s="9">
        <f>SUM(E6:E15)</f>
        <v>0</v>
      </c>
      <c r="F16" s="8" t="s">
        <v>29</v>
      </c>
    </row>
    <row r="19" spans="1:6">
      <c r="A19" s="3" t="s">
        <v>30</v>
      </c>
      <c r="B19" s="3"/>
      <c r="C19" s="3"/>
      <c r="D19" s="3"/>
      <c r="E19" s="3"/>
      <c r="F19" s="3"/>
    </row>
    <row r="20" spans="1:6">
      <c r="A20" s="4" t="s">
        <v>3</v>
      </c>
      <c r="B20" s="4" t="s">
        <v>4</v>
      </c>
      <c r="C20" s="4" t="s">
        <v>5</v>
      </c>
      <c r="D20" s="4" t="s">
        <v>6</v>
      </c>
      <c r="E20" s="4" t="s">
        <v>7</v>
      </c>
      <c r="F20" s="4" t="s">
        <v>8</v>
      </c>
    </row>
    <row r="21" spans="1:6">
      <c r="A21" s="5" t="s">
        <v>31</v>
      </c>
      <c r="B21" s="5" t="s">
        <v>32</v>
      </c>
      <c r="C21" s="6">
        <v>3</v>
      </c>
      <c r="D21" s="6">
        <v>5</v>
      </c>
      <c r="E21" s="6">
        <v>10</v>
      </c>
      <c r="F21" s="7" t="s">
        <v>33</v>
      </c>
    </row>
    <row r="22" spans="1:6">
      <c r="A22" s="5" t="s">
        <v>31</v>
      </c>
      <c r="B22" s="5" t="s">
        <v>34</v>
      </c>
      <c r="C22" s="6">
        <v>0.6</v>
      </c>
      <c r="D22" s="6">
        <v>1.5</v>
      </c>
      <c r="E22" s="6">
        <v>15</v>
      </c>
      <c r="F22" s="7" t="s">
        <v>35</v>
      </c>
    </row>
    <row r="23" spans="1:6">
      <c r="A23" s="5" t="s">
        <v>31</v>
      </c>
      <c r="B23" s="5" t="s">
        <v>36</v>
      </c>
      <c r="C23" s="6">
        <v>0.6</v>
      </c>
      <c r="D23" s="6">
        <v>1.5</v>
      </c>
      <c r="E23" s="6">
        <v>15</v>
      </c>
      <c r="F23" s="7" t="s">
        <v>37</v>
      </c>
    </row>
    <row r="24" spans="1:6">
      <c r="A24" s="5" t="s">
        <v>31</v>
      </c>
      <c r="B24" s="5" t="s">
        <v>38</v>
      </c>
      <c r="C24" s="6">
        <v>0</v>
      </c>
      <c r="D24" s="6">
        <v>0</v>
      </c>
      <c r="E24" s="6">
        <v>25</v>
      </c>
      <c r="F24" s="7" t="s">
        <v>39</v>
      </c>
    </row>
    <row r="25" spans="1:6">
      <c r="A25" s="5" t="s">
        <v>31</v>
      </c>
      <c r="B25" s="5" t="s">
        <v>40</v>
      </c>
      <c r="C25" s="6">
        <v>0</v>
      </c>
      <c r="D25" s="6">
        <v>5</v>
      </c>
      <c r="E25" s="6">
        <v>20</v>
      </c>
      <c r="F25" s="7" t="s">
        <v>41</v>
      </c>
    </row>
    <row r="26" spans="1:6">
      <c r="A26" s="8" t="s">
        <v>42</v>
      </c>
      <c r="B26" s="8"/>
      <c r="C26" s="9">
        <f>SUM(C21:C25)</f>
        <v>0</v>
      </c>
      <c r="D26" s="9">
        <f>SUM(D21:D25)</f>
        <v>0</v>
      </c>
      <c r="E26" s="9">
        <f>SUM(E21:E25)</f>
        <v>0</v>
      </c>
      <c r="F26" s="8" t="s">
        <v>43</v>
      </c>
    </row>
    <row r="29" spans="1:6">
      <c r="A29" s="3" t="s">
        <v>44</v>
      </c>
      <c r="B29" s="3"/>
      <c r="C29" s="3"/>
      <c r="D29" s="3"/>
      <c r="E29" s="3"/>
      <c r="F29" s="3"/>
    </row>
    <row r="30" spans="1:6">
      <c r="A30" s="4" t="s">
        <v>45</v>
      </c>
      <c r="B30" s="4" t="s">
        <v>46</v>
      </c>
      <c r="C30" s="4" t="s">
        <v>47</v>
      </c>
      <c r="D30" s="4" t="s">
        <v>48</v>
      </c>
      <c r="E30" s="4" t="s">
        <v>49</v>
      </c>
      <c r="F30" s="4" t="s">
        <v>8</v>
      </c>
    </row>
    <row r="31" spans="1:6">
      <c r="A31" s="5">
        <v>5</v>
      </c>
      <c r="B31" s="6">
        <f>C15/A31</f>
        <v>0</v>
      </c>
      <c r="C31" s="6">
        <f>D15/A31</f>
        <v>0</v>
      </c>
      <c r="D31" s="6">
        <f>E15/A31</f>
        <v>0</v>
      </c>
      <c r="E31" s="6">
        <f>D15/A31+D26</f>
        <v>0</v>
      </c>
      <c r="F31" s="7" t="s">
        <v>50</v>
      </c>
    </row>
    <row r="32" spans="1:6">
      <c r="A32" s="5">
        <v>10</v>
      </c>
      <c r="B32" s="6">
        <f>C15/A32</f>
        <v>0</v>
      </c>
      <c r="C32" s="6">
        <f>D15/A32</f>
        <v>0</v>
      </c>
      <c r="D32" s="6">
        <f>E15/A32</f>
        <v>0</v>
      </c>
      <c r="E32" s="6">
        <f>D15/A32+D26</f>
        <v>0</v>
      </c>
      <c r="F32" s="7" t="s">
        <v>50</v>
      </c>
    </row>
    <row r="33" spans="1:6">
      <c r="A33" s="5">
        <v>25</v>
      </c>
      <c r="B33" s="6">
        <f>C15/A33</f>
        <v>0</v>
      </c>
      <c r="C33" s="6">
        <f>D15/A33</f>
        <v>0</v>
      </c>
      <c r="D33" s="6">
        <f>E15/A33</f>
        <v>0</v>
      </c>
      <c r="E33" s="6">
        <f>D15/A33+D26</f>
        <v>0</v>
      </c>
      <c r="F33" s="7" t="s">
        <v>50</v>
      </c>
    </row>
    <row r="34" spans="1:6">
      <c r="A34" s="5">
        <v>50</v>
      </c>
      <c r="B34" s="6">
        <f>C15/A34</f>
        <v>0</v>
      </c>
      <c r="C34" s="6">
        <f>D15/A34</f>
        <v>0</v>
      </c>
      <c r="D34" s="6">
        <f>E15/A34</f>
        <v>0</v>
      </c>
      <c r="E34" s="6">
        <f>D15/A34+D26</f>
        <v>0</v>
      </c>
      <c r="F34" s="7" t="s">
        <v>50</v>
      </c>
    </row>
    <row r="35" spans="1:6">
      <c r="A35" s="5">
        <v>100</v>
      </c>
      <c r="B35" s="6">
        <f>C15/A35</f>
        <v>0</v>
      </c>
      <c r="C35" s="6">
        <f>D15/A35</f>
        <v>0</v>
      </c>
      <c r="D35" s="6">
        <f>E15/A35</f>
        <v>0</v>
      </c>
      <c r="E35" s="6">
        <f>D15/A35+D26</f>
        <v>0</v>
      </c>
      <c r="F35" s="7" t="s">
        <v>50</v>
      </c>
    </row>
  </sheetData>
  <mergeCells count="3">
    <mergeCell ref="A5:F5"/>
    <mergeCell ref="A19:F19"/>
    <mergeCell ref="A29:F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Costs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2026-05-07T18:43:35Z</dcterms:created>
  <dcterms:modified xsi:type="dcterms:W3CDTF">2026-05-07T18:43:35Z</dcterms:modified>
</cp:coreProperties>
</file>